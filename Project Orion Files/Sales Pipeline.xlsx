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<sst xmlns="http://schemas.openxmlformats.org/spreadsheetml/2006/main" count="154" uniqueCount="95">
  <si>
    <t xml:space="preserve">Sales Pipeline — Project Orion &amp; Core ERP</t>
  </si>
  <si>
    <t xml:space="preserve">Contoso Electronics · Sales Operations · Snapshot date: 2026-04-06 · All values in USD</t>
  </si>
  <si>
    <t xml:space="preserve">Opportunity ID</t>
  </si>
  <si>
    <t xml:space="preserve">Customer</t>
  </si>
  <si>
    <t xml:space="preserve">Sales Rep</t>
  </si>
  <si>
    <t xml:space="preserve">Region</t>
  </si>
  <si>
    <t xml:space="preserve">Product</t>
  </si>
  <si>
    <t xml:space="preserve">Deal Value</t>
  </si>
  <si>
    <t xml:space="preserve">Stage</t>
  </si>
  <si>
    <t xml:space="preserve">Expected Close</t>
  </si>
  <si>
    <t xml:space="preserve">Probability</t>
  </si>
  <si>
    <t xml:space="preserve">Weighted Value</t>
  </si>
  <si>
    <t xml:space="preserve">OPP-1001</t>
  </si>
  <si>
    <t xml:space="preserve">Northwind Retail</t>
  </si>
  <si>
    <t xml:space="preserve">J. Alvarez</t>
  </si>
  <si>
    <t xml:space="preserve">North</t>
  </si>
  <si>
    <t xml:space="preserve">ERP – Full Suite</t>
  </si>
  <si>
    <t xml:space="preserve">Negotiation</t>
  </si>
  <si>
    <t xml:space="preserve">2026-04-24</t>
  </si>
  <si>
    <t xml:space="preserve">OPP-1002</t>
  </si>
  <si>
    <t xml:space="preserve">Fabrikam Industries</t>
  </si>
  <si>
    <t xml:space="preserve">M. Chen</t>
  </si>
  <si>
    <t xml:space="preserve">West</t>
  </si>
  <si>
    <t xml:space="preserve">ERP – Supply Chain Module</t>
  </si>
  <si>
    <t xml:space="preserve">Proposal Sent</t>
  </si>
  <si>
    <t xml:space="preserve">2026-05-08</t>
  </si>
  <si>
    <t xml:space="preserve">OPP-1003</t>
  </si>
  <si>
    <t xml:space="preserve">Adventure Works</t>
  </si>
  <si>
    <t xml:space="preserve">S. Patel</t>
  </si>
  <si>
    <t xml:space="preserve">South</t>
  </si>
  <si>
    <t xml:space="preserve">Contract Review</t>
  </si>
  <si>
    <t xml:space="preserve">2026-04-30</t>
  </si>
  <si>
    <t xml:space="preserve">OPP-1004</t>
  </si>
  <si>
    <t xml:space="preserve">Tailspin Toys</t>
  </si>
  <si>
    <t xml:space="preserve">R. Okafor</t>
  </si>
  <si>
    <t xml:space="preserve">East</t>
  </si>
  <si>
    <t xml:space="preserve">ERP – Finance Module</t>
  </si>
  <si>
    <t xml:space="preserve">2026-04-18</t>
  </si>
  <si>
    <t xml:space="preserve">OPP-1005</t>
  </si>
  <si>
    <t xml:space="preserve">Fourth Coffee</t>
  </si>
  <si>
    <t xml:space="preserve">L. Bergström</t>
  </si>
  <si>
    <t xml:space="preserve">ERP – Procurement Module</t>
  </si>
  <si>
    <t xml:space="preserve">Discovery</t>
  </si>
  <si>
    <t xml:space="preserve">2026-06-12</t>
  </si>
  <si>
    <t xml:space="preserve">OPP-1006</t>
  </si>
  <si>
    <t xml:space="preserve">Contoso Retail Group</t>
  </si>
  <si>
    <t xml:space="preserve">T. Nakamura</t>
  </si>
  <si>
    <t xml:space="preserve">2026-05-20</t>
  </si>
  <si>
    <t xml:space="preserve">OPP-1007</t>
  </si>
  <si>
    <t xml:space="preserve">Wide World Importers</t>
  </si>
  <si>
    <t xml:space="preserve">2026-04-27</t>
  </si>
  <si>
    <t xml:space="preserve">OPP-1008</t>
  </si>
  <si>
    <t xml:space="preserve">Lakeshore Manufacturing</t>
  </si>
  <si>
    <t xml:space="preserve">ERP – Operations Module</t>
  </si>
  <si>
    <t xml:space="preserve">2026-06-30</t>
  </si>
  <si>
    <t xml:space="preserve">OPP-1009</t>
  </si>
  <si>
    <t xml:space="preserve">Blue Yonder Logistics</t>
  </si>
  <si>
    <t xml:space="preserve">2026-05-05</t>
  </si>
  <si>
    <t xml:space="preserve">OPP-1010</t>
  </si>
  <si>
    <t xml:space="preserve">Trey Research</t>
  </si>
  <si>
    <t xml:space="preserve">Closed Won</t>
  </si>
  <si>
    <t xml:space="preserve">2026-03-15</t>
  </si>
  <si>
    <t xml:space="preserve">OPP-1011</t>
  </si>
  <si>
    <t xml:space="preserve">Alpine Ski House</t>
  </si>
  <si>
    <t xml:space="preserve">Closed Lost</t>
  </si>
  <si>
    <t xml:space="preserve">2026-03-10</t>
  </si>
  <si>
    <t xml:space="preserve">OPP-1012</t>
  </si>
  <si>
    <t xml:space="preserve">Litware Inc.</t>
  </si>
  <si>
    <t xml:space="preserve">2026-05-15</t>
  </si>
  <si>
    <t xml:space="preserve">OPP-1013</t>
  </si>
  <si>
    <t xml:space="preserve">Relecloud</t>
  </si>
  <si>
    <t xml:space="preserve">2026-04-22</t>
  </si>
  <si>
    <t xml:space="preserve">OPP-1014</t>
  </si>
  <si>
    <t xml:space="preserve">Consolidated Messenger</t>
  </si>
  <si>
    <t xml:space="preserve">2026-06-18</t>
  </si>
  <si>
    <t xml:space="preserve">OPP-1015</t>
  </si>
  <si>
    <t xml:space="preserve">VanArsdel Ltd.</t>
  </si>
  <si>
    <t xml:space="preserve">2026-05-02</t>
  </si>
  <si>
    <t xml:space="preserve">OPP-1016</t>
  </si>
  <si>
    <t xml:space="preserve">Fabrikam Residences</t>
  </si>
  <si>
    <t xml:space="preserve">2026-05-25</t>
  </si>
  <si>
    <t xml:space="preserve">OPP-1017</t>
  </si>
  <si>
    <t xml:space="preserve">Proseware Inc.</t>
  </si>
  <si>
    <t xml:space="preserve">2026-04-29</t>
  </si>
  <si>
    <t xml:space="preserve">OPP-1018</t>
  </si>
  <si>
    <t xml:space="preserve">City Power &amp; Light</t>
  </si>
  <si>
    <t xml:space="preserve">2026-07-05</t>
  </si>
  <si>
    <t xml:space="preserve">OPP-1019</t>
  </si>
  <si>
    <t xml:space="preserve">Northwind Traders</t>
  </si>
  <si>
    <t xml:space="preserve">2026-03-20</t>
  </si>
  <si>
    <t xml:space="preserve">OPP-1020</t>
  </si>
  <si>
    <t xml:space="preserve">Humongous Insurance</t>
  </si>
  <si>
    <t xml:space="preserve">2026-05-30</t>
  </si>
  <si>
    <t xml:space="preserve">Totals:</t>
  </si>
  <si>
    <t xml:space="preserve">Open opportunities: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</si>
</sst>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yyyy\-mm\-dd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5" t="n">
        <v>420000</v>
      </c>
      <c r="G5" s="4" t="s">
        <v>17</v>
      </c>
      <c r="H5" s="6" t="s">
        <v>18</v>
      </c>
      <c r="I5" s="7" t="n">
        <v>0.75</v>
      </c>
      <c r="J5" s="5" t="n">
        <f aca="false">F5*I5</f>
        <v>315000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5" t="n">
        <v>185000</v>
      </c>
      <c r="G6" s="4" t="s">
        <v>24</v>
      </c>
      <c r="H6" s="6" t="s">
        <v>25</v>
      </c>
      <c r="I6" s="7" t="n">
        <v>0.55</v>
      </c>
      <c r="J6" s="5" t="n">
        <f aca="false">F6*I6</f>
        <v>101750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28</v>
      </c>
      <c r="D7" s="4" t="s">
        <v>29</v>
      </c>
      <c r="E7" s="4" t="s">
        <v>16</v>
      </c>
      <c r="F7" s="5" t="n">
        <v>310000</v>
      </c>
      <c r="G7" s="4" t="s">
        <v>30</v>
      </c>
      <c r="H7" s="6" t="s">
        <v>31</v>
      </c>
      <c r="I7" s="7" t="n">
        <v>0.8</v>
      </c>
      <c r="J7" s="5" t="n">
        <f aca="false">F7*I7</f>
        <v>248000</v>
      </c>
    </row>
    <row r="8" customFormat="false" ht="15" hidden="false" customHeight="false" outlineLevel="0" collapsed="false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5" t="n">
        <v>96000</v>
      </c>
      <c r="G8" s="4" t="s">
        <v>17</v>
      </c>
      <c r="H8" s="6" t="s">
        <v>37</v>
      </c>
      <c r="I8" s="7" t="n">
        <v>0.65</v>
      </c>
      <c r="J8" s="5" t="n">
        <f aca="false">F8*I8</f>
        <v>62400</v>
      </c>
    </row>
    <row r="9" customFormat="false" ht="15" hidden="false" customHeight="false" outlineLevel="0" collapsed="false">
      <c r="A9" s="4" t="s">
        <v>38</v>
      </c>
      <c r="B9" s="4" t="s">
        <v>39</v>
      </c>
      <c r="C9" s="4" t="s">
        <v>40</v>
      </c>
      <c r="D9" s="4" t="s">
        <v>15</v>
      </c>
      <c r="E9" s="4" t="s">
        <v>41</v>
      </c>
      <c r="F9" s="5" t="n">
        <v>142000</v>
      </c>
      <c r="G9" s="4" t="s">
        <v>42</v>
      </c>
      <c r="H9" s="6" t="s">
        <v>43</v>
      </c>
      <c r="I9" s="7" t="n">
        <v>0.3</v>
      </c>
      <c r="J9" s="5" t="n">
        <f aca="false">F9*I9</f>
        <v>42600</v>
      </c>
    </row>
    <row r="10" customFormat="false" ht="15" hidden="false" customHeight="false" outlineLevel="0" collapsed="false">
      <c r="A10" s="4" t="s">
        <v>44</v>
      </c>
      <c r="B10" s="4" t="s">
        <v>45</v>
      </c>
      <c r="C10" s="4" t="s">
        <v>46</v>
      </c>
      <c r="D10" s="4" t="s">
        <v>22</v>
      </c>
      <c r="E10" s="4" t="s">
        <v>16</v>
      </c>
      <c r="F10" s="5" t="n">
        <v>560000</v>
      </c>
      <c r="G10" s="4" t="s">
        <v>24</v>
      </c>
      <c r="H10" s="6" t="s">
        <v>47</v>
      </c>
      <c r="I10" s="7" t="n">
        <v>0.5</v>
      </c>
      <c r="J10" s="5" t="n">
        <f aca="false">F10*I10</f>
        <v>280000</v>
      </c>
    </row>
    <row r="11" customFormat="false" ht="15" hidden="false" customHeight="false" outlineLevel="0" collapsed="false">
      <c r="A11" s="4" t="s">
        <v>48</v>
      </c>
      <c r="B11" s="4" t="s">
        <v>49</v>
      </c>
      <c r="C11" s="4" t="s">
        <v>14</v>
      </c>
      <c r="D11" s="4" t="s">
        <v>29</v>
      </c>
      <c r="E11" s="4" t="s">
        <v>23</v>
      </c>
      <c r="F11" s="5" t="n">
        <v>210000</v>
      </c>
      <c r="G11" s="4" t="s">
        <v>17</v>
      </c>
      <c r="H11" s="6" t="s">
        <v>50</v>
      </c>
      <c r="I11" s="7" t="n">
        <v>0.7</v>
      </c>
      <c r="J11" s="5" t="n">
        <f aca="false">F11*I11</f>
        <v>147000</v>
      </c>
    </row>
    <row r="12" customFormat="false" ht="15" hidden="false" customHeight="false" outlineLevel="0" collapsed="false">
      <c r="A12" s="4" t="s">
        <v>51</v>
      </c>
      <c r="B12" s="4" t="s">
        <v>52</v>
      </c>
      <c r="C12" s="4" t="s">
        <v>21</v>
      </c>
      <c r="D12" s="4" t="s">
        <v>15</v>
      </c>
      <c r="E12" s="4" t="s">
        <v>53</v>
      </c>
      <c r="F12" s="5" t="n">
        <v>175000</v>
      </c>
      <c r="G12" s="4" t="s">
        <v>42</v>
      </c>
      <c r="H12" s="6" t="s">
        <v>54</v>
      </c>
      <c r="I12" s="7" t="n">
        <v>0.25</v>
      </c>
      <c r="J12" s="5" t="n">
        <f aca="false">F12*I12</f>
        <v>43750</v>
      </c>
    </row>
    <row r="13" customFormat="false" ht="15" hidden="false" customHeight="false" outlineLevel="0" collapsed="false">
      <c r="A13" s="4" t="s">
        <v>55</v>
      </c>
      <c r="B13" s="4" t="s">
        <v>56</v>
      </c>
      <c r="C13" s="4" t="s">
        <v>28</v>
      </c>
      <c r="D13" s="4" t="s">
        <v>35</v>
      </c>
      <c r="E13" s="4" t="s">
        <v>16</v>
      </c>
      <c r="F13" s="5" t="n">
        <v>480000</v>
      </c>
      <c r="G13" s="4" t="s">
        <v>30</v>
      </c>
      <c r="H13" s="6" t="s">
        <v>57</v>
      </c>
      <c r="I13" s="7" t="n">
        <v>0.85</v>
      </c>
      <c r="J13" s="5" t="n">
        <f aca="false">F13*I13</f>
        <v>408000</v>
      </c>
    </row>
    <row r="14" customFormat="false" ht="15" hidden="false" customHeight="false" outlineLevel="0" collapsed="false">
      <c r="A14" s="4" t="s">
        <v>58</v>
      </c>
      <c r="B14" s="4" t="s">
        <v>59</v>
      </c>
      <c r="C14" s="4" t="s">
        <v>34</v>
      </c>
      <c r="D14" s="4" t="s">
        <v>22</v>
      </c>
      <c r="E14" s="4" t="s">
        <v>36</v>
      </c>
      <c r="F14" s="5" t="n">
        <v>88000</v>
      </c>
      <c r="G14" s="4" t="s">
        <v>60</v>
      </c>
      <c r="H14" s="6" t="s">
        <v>61</v>
      </c>
      <c r="I14" s="7" t="n">
        <v>1</v>
      </c>
      <c r="J14" s="5" t="n">
        <f aca="false">F14*I14</f>
        <v>88000</v>
      </c>
    </row>
    <row r="15" customFormat="false" ht="15" hidden="false" customHeight="false" outlineLevel="0" collapsed="false">
      <c r="A15" s="4" t="s">
        <v>62</v>
      </c>
      <c r="B15" s="4" t="s">
        <v>63</v>
      </c>
      <c r="C15" s="4" t="s">
        <v>40</v>
      </c>
      <c r="D15" s="4" t="s">
        <v>15</v>
      </c>
      <c r="E15" s="4" t="s">
        <v>41</v>
      </c>
      <c r="F15" s="5" t="n">
        <v>64000</v>
      </c>
      <c r="G15" s="4" t="s">
        <v>64</v>
      </c>
      <c r="H15" s="6" t="s">
        <v>65</v>
      </c>
      <c r="I15" s="7" t="n">
        <v>0</v>
      </c>
      <c r="J15" s="5" t="n">
        <f aca="false">F15*I15</f>
        <v>0</v>
      </c>
    </row>
    <row r="16" customFormat="false" ht="15" hidden="false" customHeight="false" outlineLevel="0" collapsed="false">
      <c r="A16" s="4" t="s">
        <v>66</v>
      </c>
      <c r="B16" s="4" t="s">
        <v>67</v>
      </c>
      <c r="C16" s="4" t="s">
        <v>46</v>
      </c>
      <c r="D16" s="4" t="s">
        <v>29</v>
      </c>
      <c r="E16" s="4" t="s">
        <v>16</v>
      </c>
      <c r="F16" s="5" t="n">
        <v>390000</v>
      </c>
      <c r="G16" s="4" t="s">
        <v>24</v>
      </c>
      <c r="H16" s="6" t="s">
        <v>68</v>
      </c>
      <c r="I16" s="7" t="n">
        <v>0.55</v>
      </c>
      <c r="J16" s="5" t="n">
        <f aca="false">F16*I16</f>
        <v>214500</v>
      </c>
    </row>
    <row r="17" customFormat="false" ht="15" hidden="false" customHeight="false" outlineLevel="0" collapsed="false">
      <c r="A17" s="4" t="s">
        <v>69</v>
      </c>
      <c r="B17" s="4" t="s">
        <v>70</v>
      </c>
      <c r="C17" s="4" t="s">
        <v>14</v>
      </c>
      <c r="D17" s="4" t="s">
        <v>35</v>
      </c>
      <c r="E17" s="4" t="s">
        <v>23</v>
      </c>
      <c r="F17" s="5" t="n">
        <v>156000</v>
      </c>
      <c r="G17" s="4" t="s">
        <v>17</v>
      </c>
      <c r="H17" s="6" t="s">
        <v>71</v>
      </c>
      <c r="I17" s="7" t="n">
        <v>0.7</v>
      </c>
      <c r="J17" s="5" t="n">
        <f aca="false">F17*I17</f>
        <v>109200</v>
      </c>
    </row>
    <row r="18" customFormat="false" ht="15" hidden="false" customHeight="false" outlineLevel="0" collapsed="false">
      <c r="A18" s="4" t="s">
        <v>72</v>
      </c>
      <c r="B18" s="4" t="s">
        <v>73</v>
      </c>
      <c r="C18" s="4" t="s">
        <v>21</v>
      </c>
      <c r="D18" s="4" t="s">
        <v>22</v>
      </c>
      <c r="E18" s="4" t="s">
        <v>36</v>
      </c>
      <c r="F18" s="5" t="n">
        <v>102000</v>
      </c>
      <c r="G18" s="4" t="s">
        <v>42</v>
      </c>
      <c r="H18" s="6" t="s">
        <v>74</v>
      </c>
      <c r="I18" s="7" t="n">
        <v>0.3</v>
      </c>
      <c r="J18" s="5" t="n">
        <f aca="false">F18*I18</f>
        <v>30600</v>
      </c>
    </row>
    <row r="19" customFormat="false" ht="15" hidden="false" customHeight="false" outlineLevel="0" collapsed="false">
      <c r="A19" s="4" t="s">
        <v>75</v>
      </c>
      <c r="B19" s="4" t="s">
        <v>76</v>
      </c>
      <c r="C19" s="4" t="s">
        <v>28</v>
      </c>
      <c r="D19" s="4" t="s">
        <v>15</v>
      </c>
      <c r="E19" s="4" t="s">
        <v>16</v>
      </c>
      <c r="F19" s="5" t="n">
        <v>445000</v>
      </c>
      <c r="G19" s="4" t="s">
        <v>30</v>
      </c>
      <c r="H19" s="6" t="s">
        <v>77</v>
      </c>
      <c r="I19" s="7" t="n">
        <v>0.8</v>
      </c>
      <c r="J19" s="5" t="n">
        <f aca="false">F19*I19</f>
        <v>356000</v>
      </c>
    </row>
    <row r="20" customFormat="false" ht="15" hidden="false" customHeight="false" outlineLevel="0" collapsed="false">
      <c r="A20" s="4" t="s">
        <v>78</v>
      </c>
      <c r="B20" s="4" t="s">
        <v>79</v>
      </c>
      <c r="C20" s="4" t="s">
        <v>34</v>
      </c>
      <c r="D20" s="4" t="s">
        <v>29</v>
      </c>
      <c r="E20" s="4" t="s">
        <v>53</v>
      </c>
      <c r="F20" s="5" t="n">
        <v>128000</v>
      </c>
      <c r="G20" s="4" t="s">
        <v>24</v>
      </c>
      <c r="H20" s="6" t="s">
        <v>80</v>
      </c>
      <c r="I20" s="7" t="n">
        <v>0.45</v>
      </c>
      <c r="J20" s="5" t="n">
        <f aca="false">F20*I20</f>
        <v>57600</v>
      </c>
    </row>
    <row r="21" customFormat="false" ht="15" hidden="false" customHeight="false" outlineLevel="0" collapsed="false">
      <c r="A21" s="4" t="s">
        <v>81</v>
      </c>
      <c r="B21" s="4" t="s">
        <v>82</v>
      </c>
      <c r="C21" s="4" t="s">
        <v>40</v>
      </c>
      <c r="D21" s="4" t="s">
        <v>35</v>
      </c>
      <c r="E21" s="4" t="s">
        <v>16</v>
      </c>
      <c r="F21" s="5" t="n">
        <v>520000</v>
      </c>
      <c r="G21" s="4" t="s">
        <v>17</v>
      </c>
      <c r="H21" s="6" t="s">
        <v>83</v>
      </c>
      <c r="I21" s="7" t="n">
        <v>0.75</v>
      </c>
      <c r="J21" s="5" t="n">
        <f aca="false">F21*I21</f>
        <v>390000</v>
      </c>
    </row>
    <row r="22" customFormat="false" ht="15" hidden="false" customHeight="false" outlineLevel="0" collapsed="false">
      <c r="A22" s="4" t="s">
        <v>84</v>
      </c>
      <c r="B22" s="4" t="s">
        <v>85</v>
      </c>
      <c r="C22" s="4" t="s">
        <v>46</v>
      </c>
      <c r="D22" s="4" t="s">
        <v>22</v>
      </c>
      <c r="E22" s="4" t="s">
        <v>23</v>
      </c>
      <c r="F22" s="5" t="n">
        <v>238000</v>
      </c>
      <c r="G22" s="4" t="s">
        <v>42</v>
      </c>
      <c r="H22" s="6" t="s">
        <v>86</v>
      </c>
      <c r="I22" s="7" t="n">
        <v>0.25</v>
      </c>
      <c r="J22" s="5" t="n">
        <f aca="false">F22*I22</f>
        <v>59500</v>
      </c>
    </row>
    <row r="23" customFormat="false" ht="15" hidden="false" customHeight="false" outlineLevel="0" collapsed="false">
      <c r="A23" s="4" t="s">
        <v>87</v>
      </c>
      <c r="B23" s="4" t="s">
        <v>88</v>
      </c>
      <c r="C23" s="4" t="s">
        <v>14</v>
      </c>
      <c r="D23" s="4" t="s">
        <v>15</v>
      </c>
      <c r="E23" s="4" t="s">
        <v>36</v>
      </c>
      <c r="F23" s="5" t="n">
        <v>77000</v>
      </c>
      <c r="G23" s="4" t="s">
        <v>60</v>
      </c>
      <c r="H23" s="6" t="s">
        <v>89</v>
      </c>
      <c r="I23" s="7" t="n">
        <v>1</v>
      </c>
      <c r="J23" s="5" t="n">
        <f aca="false">F23*I23</f>
        <v>77000</v>
      </c>
    </row>
    <row r="24" customFormat="false" ht="15" hidden="false" customHeight="false" outlineLevel="0" collapsed="false">
      <c r="A24" s="4" t="s">
        <v>90</v>
      </c>
      <c r="B24" s="4" t="s">
        <v>91</v>
      </c>
      <c r="C24" s="4" t="s">
        <v>21</v>
      </c>
      <c r="D24" s="4" t="s">
        <v>29</v>
      </c>
      <c r="E24" s="4" t="s">
        <v>16</v>
      </c>
      <c r="F24" s="5" t="n">
        <v>365000</v>
      </c>
      <c r="G24" s="4" t="s">
        <v>24</v>
      </c>
      <c r="H24" s="6" t="s">
        <v>92</v>
      </c>
      <c r="I24" s="7" t="n">
        <v>0.5</v>
      </c>
      <c r="J24" s="5" t="n">
        <f aca="false">F24*I24</f>
        <v>182500</v>
      </c>
    </row>
    <row r="26" customFormat="false" ht="15" hidden="false" customHeight="false" outlineLevel="0" collapsed="false">
      <c r="E26" s="8" t="s">
        <v>93</v>
      </c>
      <c r="F26" s="9" t="n">
        <f aca="false">SUM(F5:F24)</f>
        <v>5151000</v>
      </c>
      <c r="J26" s="9" t="n">
        <f aca="false">SUM(J5:J24)</f>
        <v>3213400</v>
      </c>
    </row>
    <row r="27" customFormat="false" ht="15" hidden="false" customHeight="false" outlineLevel="0" collapsed="false">
      <c r="E27" s="8" t="s">
        <v>94</v>
      </c>
      <c r="F27" s="8" t="n">
        <f aca="false">SUMPRODUCT(--(G5:G24&lt;&gt;"Closed Won"),--(G5:G24&lt;&gt;"Closed Lost"))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2026-07-13T09:42:58Z</dcterms:created>
  <dc:creator>openpyxl</dc:creator>
  <dc:description/>
  <dc:language>en-US</dc:language>
  <cp:lastModifiedBy/>
  <dcterms:modified xsi:type="dcterms:W3CDTF">2026-07-13T09:42:58Z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