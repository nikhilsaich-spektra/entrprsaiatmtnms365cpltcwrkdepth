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ventory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<sst xmlns="http://schemas.openxmlformats.org/spreadsheetml/2006/main" count="113" uniqueCount="76">
  <si>
    <t xml:space="preserve">Inventory Tracker — Project Orion (Supply Chain)</t>
  </si>
  <si>
    <t xml:space="preserve">Contoso Electronics · Supply Chain · Snapshot date: 2026-04-06</t>
  </si>
  <si>
    <t xml:space="preserve">Asset ID</t>
  </si>
  <si>
    <t xml:space="preserve">Product</t>
  </si>
  <si>
    <t xml:space="preserve">Warehouse</t>
  </si>
  <si>
    <t xml:space="preserve">Quantity</t>
  </si>
  <si>
    <t xml:space="preserve">Reorder Level</t>
  </si>
  <si>
    <t xml:space="preserve">Below Reorder?</t>
  </si>
  <si>
    <t xml:space="preserve">Supplier</t>
  </si>
  <si>
    <t xml:space="preserve">Lead Time (days)</t>
  </si>
  <si>
    <t xml:space="preserve">Last Updated</t>
  </si>
  <si>
    <t xml:space="preserve">AST-3001</t>
  </si>
  <si>
    <t xml:space="preserve">Server Rack Unit — 42U</t>
  </si>
  <si>
    <t xml:space="preserve">WH-North</t>
  </si>
  <si>
    <t xml:space="preserve">Dell Technologies</t>
  </si>
  <si>
    <t xml:space="preserve">2026-04-06</t>
  </si>
  <si>
    <t xml:space="preserve">AST-3002</t>
  </si>
  <si>
    <t xml:space="preserve">Barcode Scanner — Handheld</t>
  </si>
  <si>
    <t xml:space="preserve">WH-West</t>
  </si>
  <si>
    <t xml:space="preserve">Zebra Technologies</t>
  </si>
  <si>
    <t xml:space="preserve">AST-3003</t>
  </si>
  <si>
    <t xml:space="preserve">Warehouse Tablet — Rugged</t>
  </si>
  <si>
    <t xml:space="preserve">WH-South</t>
  </si>
  <si>
    <t xml:space="preserve">Panasonic</t>
  </si>
  <si>
    <t xml:space="preserve">AST-3004</t>
  </si>
  <si>
    <t xml:space="preserve">Network Switch — 48-port</t>
  </si>
  <si>
    <t xml:space="preserve">Cisco Systems</t>
  </si>
  <si>
    <t xml:space="preserve">AST-3005</t>
  </si>
  <si>
    <t xml:space="preserve">UPS Battery Backup Unit</t>
  </si>
  <si>
    <t xml:space="preserve">WH-East</t>
  </si>
  <si>
    <t xml:space="preserve">APC by Schneider Electric</t>
  </si>
  <si>
    <t xml:space="preserve">AST-3006</t>
  </si>
  <si>
    <t xml:space="preserve">Label Printer — Industrial</t>
  </si>
  <si>
    <t xml:space="preserve">AST-3007</t>
  </si>
  <si>
    <t xml:space="preserve">RFID Reader — Fixed Mount</t>
  </si>
  <si>
    <t xml:space="preserve">Impinj</t>
  </si>
  <si>
    <t xml:space="preserve">AST-3008</t>
  </si>
  <si>
    <t xml:space="preserve">Forklift Replacement Battery</t>
  </si>
  <si>
    <t xml:space="preserve">EnerSys</t>
  </si>
  <si>
    <t xml:space="preserve">AST-3009</t>
  </si>
  <si>
    <t xml:space="preserve">Conveyor Belt Motor Unit</t>
  </si>
  <si>
    <t xml:space="preserve">Siemens</t>
  </si>
  <si>
    <t xml:space="preserve">AST-3010</t>
  </si>
  <si>
    <t xml:space="preserve">Pallet Wrapping Machine Part Kit</t>
  </si>
  <si>
    <t xml:space="preserve">Lantech</t>
  </si>
  <si>
    <t xml:space="preserve">AST-3011</t>
  </si>
  <si>
    <t xml:space="preserve">Server — Rack Mount (Compute)</t>
  </si>
  <si>
    <t xml:space="preserve">AST-3012</t>
  </si>
  <si>
    <t xml:space="preserve">Network Cable — Cat6a (500ft spool)</t>
  </si>
  <si>
    <t xml:space="preserve">Belden</t>
  </si>
  <si>
    <t xml:space="preserve">AST-3013</t>
  </si>
  <si>
    <t xml:space="preserve">Security Camera — IP Dome</t>
  </si>
  <si>
    <t xml:space="preserve">Axis Communications</t>
  </si>
  <si>
    <t xml:space="preserve">AST-3014</t>
  </si>
  <si>
    <t xml:space="preserve">Access Control Reader</t>
  </si>
  <si>
    <t xml:space="preserve">HID Global</t>
  </si>
  <si>
    <t xml:space="preserve">AST-3015</t>
  </si>
  <si>
    <t xml:space="preserve">Handheld Inventory Scanner — Backup Units</t>
  </si>
  <si>
    <t xml:space="preserve">Honeywell</t>
  </si>
  <si>
    <t xml:space="preserve">AST-3016</t>
  </si>
  <si>
    <t xml:space="preserve">Shipping Label Stock (case)</t>
  </si>
  <si>
    <t xml:space="preserve">Avery</t>
  </si>
  <si>
    <t xml:space="preserve">AST-3017</t>
  </si>
  <si>
    <t xml:space="preserve">Warehouse Shelving Unit — Heavy Duty</t>
  </si>
  <si>
    <t xml:space="preserve">Interlake Mecalux</t>
  </si>
  <si>
    <t xml:space="preserve">AST-3018</t>
  </si>
  <si>
    <t xml:space="preserve">Cold Storage Sensor Module</t>
  </si>
  <si>
    <t xml:space="preserve">Sensitech</t>
  </si>
  <si>
    <t xml:space="preserve">AST-3019</t>
  </si>
  <si>
    <t xml:space="preserve">Backup Power Generator — Portable</t>
  </si>
  <si>
    <t xml:space="preserve">Generac</t>
  </si>
  <si>
    <t xml:space="preserve">AST-3020</t>
  </si>
  <si>
    <t xml:space="preserve">Fire Suppression Refill Kit</t>
  </si>
  <si>
    <t xml:space="preserve">Ansul</t>
  </si>
  <si>
    <t xml:space="preserve">Assets below reorder level:</t>
  </si>
  <si>
    <t xml:space="preserve">Total quantity on hand (all assets):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</si>
</sst>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sz val="9"/>
      <color rgb="FF8080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4" min="4" style="0" width="11"/>
    <col collapsed="false" customWidth="true" hidden="false" outlineLevel="0" max="5" min="5" style="0" width="13"/>
    <col collapsed="false" customWidth="true" hidden="false" outlineLevel="0" max="6" min="6" style="0" width="14"/>
    <col collapsed="false" customWidth="true" hidden="false" outlineLevel="0" max="7" min="7" style="0" width="20"/>
    <col collapsed="false" customWidth="true" hidden="false" outlineLevel="0" max="8" min="8" style="0" width="15"/>
    <col collapsed="false" customWidth="true" hidden="false" outlineLevel="0" max="9" min="9" style="0" width="14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3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customFormat="false" ht="15" hidden="false" customHeight="false" outlineLevel="0" collapsed="false">
      <c r="A5" s="4" t="s">
        <v>11</v>
      </c>
      <c r="B5" s="4" t="s">
        <v>12</v>
      </c>
      <c r="C5" s="4" t="s">
        <v>13</v>
      </c>
      <c r="D5" s="4" t="n">
        <v>18</v>
      </c>
      <c r="E5" s="4" t="n">
        <v>10</v>
      </c>
      <c r="F5" s="5" t="str">
        <f aca="false">IF(D5&lt;E5,"YES","No")</f>
        <v>No</v>
      </c>
      <c r="G5" s="4" t="s">
        <v>14</v>
      </c>
      <c r="H5" s="4" t="n">
        <v>21</v>
      </c>
      <c r="I5" s="6" t="s">
        <v>15</v>
      </c>
    </row>
    <row r="6" customFormat="false" ht="15" hidden="false" customHeight="false" outlineLevel="0" collapsed="false">
      <c r="A6" s="4" t="s">
        <v>16</v>
      </c>
      <c r="B6" s="4" t="s">
        <v>17</v>
      </c>
      <c r="C6" s="4" t="s">
        <v>18</v>
      </c>
      <c r="D6" s="4" t="n">
        <v>240</v>
      </c>
      <c r="E6" s="4" t="n">
        <v>150</v>
      </c>
      <c r="F6" s="5" t="str">
        <f aca="false">IF(D6&lt;E6,"YES","No")</f>
        <v>No</v>
      </c>
      <c r="G6" s="4" t="s">
        <v>19</v>
      </c>
      <c r="H6" s="4" t="n">
        <v>14</v>
      </c>
      <c r="I6" s="6" t="s">
        <v>15</v>
      </c>
    </row>
    <row r="7" customFormat="false" ht="15" hidden="false" customHeight="false" outlineLevel="0" collapsed="false">
      <c r="A7" s="4" t="s">
        <v>20</v>
      </c>
      <c r="B7" s="4" t="s">
        <v>21</v>
      </c>
      <c r="C7" s="4" t="s">
        <v>22</v>
      </c>
      <c r="D7" s="4" t="n">
        <v>96</v>
      </c>
      <c r="E7" s="4" t="n">
        <v>80</v>
      </c>
      <c r="F7" s="5" t="str">
        <f aca="false">IF(D7&lt;E7,"YES","No")</f>
        <v>No</v>
      </c>
      <c r="G7" s="4" t="s">
        <v>23</v>
      </c>
      <c r="H7" s="4" t="n">
        <v>18</v>
      </c>
      <c r="I7" s="6" t="s">
        <v>15</v>
      </c>
    </row>
    <row r="8" customFormat="false" ht="15" hidden="false" customHeight="false" outlineLevel="0" collapsed="false">
      <c r="A8" s="4" t="s">
        <v>24</v>
      </c>
      <c r="B8" s="4" t="s">
        <v>25</v>
      </c>
      <c r="C8" s="4" t="s">
        <v>13</v>
      </c>
      <c r="D8" s="4" t="n">
        <v>34</v>
      </c>
      <c r="E8" s="4" t="n">
        <v>20</v>
      </c>
      <c r="F8" s="5" t="str">
        <f aca="false">IF(D8&lt;E8,"YES","No")</f>
        <v>No</v>
      </c>
      <c r="G8" s="4" t="s">
        <v>26</v>
      </c>
      <c r="H8" s="4" t="n">
        <v>28</v>
      </c>
      <c r="I8" s="6" t="s">
        <v>15</v>
      </c>
    </row>
    <row r="9" customFormat="false" ht="15" hidden="false" customHeight="false" outlineLevel="0" collapsed="false">
      <c r="A9" s="4" t="s">
        <v>27</v>
      </c>
      <c r="B9" s="4" t="s">
        <v>28</v>
      </c>
      <c r="C9" s="4" t="s">
        <v>29</v>
      </c>
      <c r="D9" s="4" t="n">
        <v>52</v>
      </c>
      <c r="E9" s="4" t="n">
        <v>40</v>
      </c>
      <c r="F9" s="5" t="str">
        <f aca="false">IF(D9&lt;E9,"YES","No")</f>
        <v>No</v>
      </c>
      <c r="G9" s="4" t="s">
        <v>30</v>
      </c>
      <c r="H9" s="4" t="n">
        <v>10</v>
      </c>
      <c r="I9" s="6" t="s">
        <v>15</v>
      </c>
    </row>
    <row r="10" customFormat="false" ht="15" hidden="false" customHeight="false" outlineLevel="0" collapsed="false">
      <c r="A10" s="4" t="s">
        <v>31</v>
      </c>
      <c r="B10" s="4" t="s">
        <v>32</v>
      </c>
      <c r="C10" s="4" t="s">
        <v>18</v>
      </c>
      <c r="D10" s="4" t="n">
        <v>28</v>
      </c>
      <c r="E10" s="4" t="n">
        <v>25</v>
      </c>
      <c r="F10" s="5" t="str">
        <f aca="false">IF(D10&lt;E10,"YES","No")</f>
        <v>No</v>
      </c>
      <c r="G10" s="4" t="s">
        <v>19</v>
      </c>
      <c r="H10" s="4" t="n">
        <v>16</v>
      </c>
      <c r="I10" s="6" t="s">
        <v>15</v>
      </c>
    </row>
    <row r="11" customFormat="false" ht="15" hidden="false" customHeight="false" outlineLevel="0" collapsed="false">
      <c r="A11" s="4" t="s">
        <v>33</v>
      </c>
      <c r="B11" s="4" t="s">
        <v>34</v>
      </c>
      <c r="C11" s="4" t="s">
        <v>22</v>
      </c>
      <c r="D11" s="4" t="n">
        <v>14</v>
      </c>
      <c r="E11" s="4" t="n">
        <v>15</v>
      </c>
      <c r="F11" s="5" t="str">
        <f aca="false">IF(D11&lt;E11,"YES","No")</f>
        <v>YES</v>
      </c>
      <c r="G11" s="4" t="s">
        <v>35</v>
      </c>
      <c r="H11" s="4" t="n">
        <v>30</v>
      </c>
      <c r="I11" s="6" t="s">
        <v>15</v>
      </c>
    </row>
    <row r="12" customFormat="false" ht="15" hidden="false" customHeight="false" outlineLevel="0" collapsed="false">
      <c r="A12" s="4" t="s">
        <v>36</v>
      </c>
      <c r="B12" s="4" t="s">
        <v>37</v>
      </c>
      <c r="C12" s="4" t="s">
        <v>13</v>
      </c>
      <c r="D12" s="4" t="n">
        <v>9</v>
      </c>
      <c r="E12" s="4" t="n">
        <v>10</v>
      </c>
      <c r="F12" s="5" t="str">
        <f aca="false">IF(D12&lt;E12,"YES","No")</f>
        <v>YES</v>
      </c>
      <c r="G12" s="4" t="s">
        <v>38</v>
      </c>
      <c r="H12" s="4" t="n">
        <v>35</v>
      </c>
      <c r="I12" s="6" t="s">
        <v>15</v>
      </c>
    </row>
    <row r="13" customFormat="false" ht="15" hidden="false" customHeight="false" outlineLevel="0" collapsed="false">
      <c r="A13" s="4" t="s">
        <v>39</v>
      </c>
      <c r="B13" s="4" t="s">
        <v>40</v>
      </c>
      <c r="C13" s="4" t="s">
        <v>29</v>
      </c>
      <c r="D13" s="4" t="n">
        <v>6</v>
      </c>
      <c r="E13" s="4" t="n">
        <v>8</v>
      </c>
      <c r="F13" s="5" t="str">
        <f aca="false">IF(D13&lt;E13,"YES","No")</f>
        <v>YES</v>
      </c>
      <c r="G13" s="4" t="s">
        <v>41</v>
      </c>
      <c r="H13" s="4" t="n">
        <v>42</v>
      </c>
      <c r="I13" s="6" t="s">
        <v>15</v>
      </c>
    </row>
    <row r="14" customFormat="false" ht="15" hidden="false" customHeight="false" outlineLevel="0" collapsed="false">
      <c r="A14" s="4" t="s">
        <v>42</v>
      </c>
      <c r="B14" s="4" t="s">
        <v>43</v>
      </c>
      <c r="C14" s="4" t="s">
        <v>18</v>
      </c>
      <c r="D14" s="4" t="n">
        <v>22</v>
      </c>
      <c r="E14" s="4" t="n">
        <v>15</v>
      </c>
      <c r="F14" s="5" t="str">
        <f aca="false">IF(D14&lt;E14,"YES","No")</f>
        <v>No</v>
      </c>
      <c r="G14" s="4" t="s">
        <v>44</v>
      </c>
      <c r="H14" s="4" t="n">
        <v>20</v>
      </c>
      <c r="I14" s="6" t="s">
        <v>15</v>
      </c>
    </row>
    <row r="15" customFormat="false" ht="15" hidden="false" customHeight="false" outlineLevel="0" collapsed="false">
      <c r="A15" s="4" t="s">
        <v>45</v>
      </c>
      <c r="B15" s="4" t="s">
        <v>46</v>
      </c>
      <c r="C15" s="4" t="s">
        <v>13</v>
      </c>
      <c r="D15" s="4" t="n">
        <v>11</v>
      </c>
      <c r="E15" s="4" t="n">
        <v>8</v>
      </c>
      <c r="F15" s="5" t="str">
        <f aca="false">IF(D15&lt;E15,"YES","No")</f>
        <v>No</v>
      </c>
      <c r="G15" s="4" t="s">
        <v>14</v>
      </c>
      <c r="H15" s="4" t="n">
        <v>25</v>
      </c>
      <c r="I15" s="6" t="s">
        <v>15</v>
      </c>
    </row>
    <row r="16" customFormat="false" ht="15" hidden="false" customHeight="false" outlineLevel="0" collapsed="false">
      <c r="A16" s="4" t="s">
        <v>47</v>
      </c>
      <c r="B16" s="4" t="s">
        <v>48</v>
      </c>
      <c r="C16" s="4" t="s">
        <v>22</v>
      </c>
      <c r="D16" s="4" t="n">
        <v>68</v>
      </c>
      <c r="E16" s="4" t="n">
        <v>50</v>
      </c>
      <c r="F16" s="5" t="str">
        <f aca="false">IF(D16&lt;E16,"YES","No")</f>
        <v>No</v>
      </c>
      <c r="G16" s="4" t="s">
        <v>49</v>
      </c>
      <c r="H16" s="4" t="n">
        <v>12</v>
      </c>
      <c r="I16" s="6" t="s">
        <v>15</v>
      </c>
    </row>
    <row r="17" customFormat="false" ht="15" hidden="false" customHeight="false" outlineLevel="0" collapsed="false">
      <c r="A17" s="4" t="s">
        <v>50</v>
      </c>
      <c r="B17" s="4" t="s">
        <v>51</v>
      </c>
      <c r="C17" s="4" t="s">
        <v>29</v>
      </c>
      <c r="D17" s="4" t="n">
        <v>44</v>
      </c>
      <c r="E17" s="4" t="n">
        <v>30</v>
      </c>
      <c r="F17" s="5" t="str">
        <f aca="false">IF(D17&lt;E17,"YES","No")</f>
        <v>No</v>
      </c>
      <c r="G17" s="4" t="s">
        <v>52</v>
      </c>
      <c r="H17" s="4" t="n">
        <v>15</v>
      </c>
      <c r="I17" s="6" t="s">
        <v>15</v>
      </c>
    </row>
    <row r="18" customFormat="false" ht="15" hidden="false" customHeight="false" outlineLevel="0" collapsed="false">
      <c r="A18" s="4" t="s">
        <v>53</v>
      </c>
      <c r="B18" s="4" t="s">
        <v>54</v>
      </c>
      <c r="C18" s="4" t="s">
        <v>18</v>
      </c>
      <c r="D18" s="4" t="n">
        <v>31</v>
      </c>
      <c r="E18" s="4" t="n">
        <v>25</v>
      </c>
      <c r="F18" s="5" t="str">
        <f aca="false">IF(D18&lt;E18,"YES","No")</f>
        <v>No</v>
      </c>
      <c r="G18" s="4" t="s">
        <v>55</v>
      </c>
      <c r="H18" s="4" t="n">
        <v>19</v>
      </c>
      <c r="I18" s="6" t="s">
        <v>15</v>
      </c>
    </row>
    <row r="19" customFormat="false" ht="15" hidden="false" customHeight="false" outlineLevel="0" collapsed="false">
      <c r="A19" s="4" t="s">
        <v>56</v>
      </c>
      <c r="B19" s="4" t="s">
        <v>57</v>
      </c>
      <c r="C19" s="4" t="s">
        <v>13</v>
      </c>
      <c r="D19" s="4" t="n">
        <v>58</v>
      </c>
      <c r="E19" s="4" t="n">
        <v>40</v>
      </c>
      <c r="F19" s="5" t="str">
        <f aca="false">IF(D19&lt;E19,"YES","No")</f>
        <v>No</v>
      </c>
      <c r="G19" s="4" t="s">
        <v>58</v>
      </c>
      <c r="H19" s="4" t="n">
        <v>13</v>
      </c>
      <c r="I19" s="6" t="s">
        <v>15</v>
      </c>
    </row>
    <row r="20" customFormat="false" ht="15" hidden="false" customHeight="false" outlineLevel="0" collapsed="false">
      <c r="A20" s="4" t="s">
        <v>59</v>
      </c>
      <c r="B20" s="4" t="s">
        <v>60</v>
      </c>
      <c r="C20" s="4" t="s">
        <v>22</v>
      </c>
      <c r="D20" s="4" t="n">
        <v>180</v>
      </c>
      <c r="E20" s="4" t="n">
        <v>120</v>
      </c>
      <c r="F20" s="5" t="str">
        <f aca="false">IF(D20&lt;E20,"YES","No")</f>
        <v>No</v>
      </c>
      <c r="G20" s="4" t="s">
        <v>61</v>
      </c>
      <c r="H20" s="4" t="n">
        <v>7</v>
      </c>
      <c r="I20" s="6" t="s">
        <v>15</v>
      </c>
    </row>
    <row r="21" customFormat="false" ht="15" hidden="false" customHeight="false" outlineLevel="0" collapsed="false">
      <c r="A21" s="4" t="s">
        <v>62</v>
      </c>
      <c r="B21" s="4" t="s">
        <v>63</v>
      </c>
      <c r="C21" s="4" t="s">
        <v>29</v>
      </c>
      <c r="D21" s="4" t="n">
        <v>26</v>
      </c>
      <c r="E21" s="4" t="n">
        <v>20</v>
      </c>
      <c r="F21" s="5" t="str">
        <f aca="false">IF(D21&lt;E21,"YES","No")</f>
        <v>No</v>
      </c>
      <c r="G21" s="4" t="s">
        <v>64</v>
      </c>
      <c r="H21" s="4" t="n">
        <v>33</v>
      </c>
      <c r="I21" s="6" t="s">
        <v>15</v>
      </c>
    </row>
    <row r="22" customFormat="false" ht="15" hidden="false" customHeight="false" outlineLevel="0" collapsed="false">
      <c r="A22" s="4" t="s">
        <v>65</v>
      </c>
      <c r="B22" s="4" t="s">
        <v>66</v>
      </c>
      <c r="C22" s="4" t="s">
        <v>18</v>
      </c>
      <c r="D22" s="4" t="n">
        <v>19</v>
      </c>
      <c r="E22" s="4" t="n">
        <v>15</v>
      </c>
      <c r="F22" s="5" t="str">
        <f aca="false">IF(D22&lt;E22,"YES","No")</f>
        <v>No</v>
      </c>
      <c r="G22" s="4" t="s">
        <v>67</v>
      </c>
      <c r="H22" s="4" t="n">
        <v>22</v>
      </c>
      <c r="I22" s="6" t="s">
        <v>15</v>
      </c>
    </row>
    <row r="23" customFormat="false" ht="15" hidden="false" customHeight="false" outlineLevel="0" collapsed="false">
      <c r="A23" s="4" t="s">
        <v>68</v>
      </c>
      <c r="B23" s="4" t="s">
        <v>69</v>
      </c>
      <c r="C23" s="4" t="s">
        <v>13</v>
      </c>
      <c r="D23" s="4" t="n">
        <v>4</v>
      </c>
      <c r="E23" s="4" t="n">
        <v>5</v>
      </c>
      <c r="F23" s="5" t="str">
        <f aca="false">IF(D23&lt;E23,"YES","No")</f>
        <v>YES</v>
      </c>
      <c r="G23" s="4" t="s">
        <v>70</v>
      </c>
      <c r="H23" s="4" t="n">
        <v>40</v>
      </c>
      <c r="I23" s="6" t="s">
        <v>15</v>
      </c>
    </row>
    <row r="24" customFormat="false" ht="15" hidden="false" customHeight="false" outlineLevel="0" collapsed="false">
      <c r="A24" s="4" t="s">
        <v>71</v>
      </c>
      <c r="B24" s="4" t="s">
        <v>72</v>
      </c>
      <c r="C24" s="4" t="s">
        <v>22</v>
      </c>
      <c r="D24" s="4" t="n">
        <v>12</v>
      </c>
      <c r="E24" s="4" t="n">
        <v>10</v>
      </c>
      <c r="F24" s="5" t="str">
        <f aca="false">IF(D24&lt;E24,"YES","No")</f>
        <v>No</v>
      </c>
      <c r="G24" s="4" t="s">
        <v>73</v>
      </c>
      <c r="H24" s="4" t="n">
        <v>27</v>
      </c>
      <c r="I24" s="6" t="s">
        <v>15</v>
      </c>
    </row>
    <row r="26" customFormat="false" ht="15" hidden="false" customHeight="false" outlineLevel="0" collapsed="false">
      <c r="B26" s="7" t="s">
        <v>74</v>
      </c>
      <c r="D26" s="7" t="n">
        <f aca="false">SUMPRODUCT(--(D5:D24&lt;E5:E24))</f>
        <v>4</v>
      </c>
    </row>
    <row r="27" customFormat="false" ht="15" hidden="false" customHeight="false" outlineLevel="0" collapsed="false">
      <c r="B27" s="7" t="s">
        <v>75</v>
      </c>
      <c r="D27" s="7" t="n">
        <f aca="false">SUM(D5:D24)</f>
        <v>972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2026-07-13T09:42:58Z</dcterms:created>
  <dc:creator>openpyxl</dc:creator>
  <dc:description/>
  <dc:language>en-US</dc:language>
  <cp:lastModifiedBy/>
  <dcterms:modified xsi:type="dcterms:W3CDTF">2026-07-13T09:42:58Z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