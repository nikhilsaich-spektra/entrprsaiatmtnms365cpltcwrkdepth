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<sst xmlns="http://schemas.openxmlformats.org/spreadsheetml/2006/main" count="206" uniqueCount="107">
  <si>
    <t xml:space="preserve">Project Tracker — Project Orion</t>
  </si>
  <si>
    <t xml:space="preserve">Contoso Electronics · PMO · Snapshot date: 2026-04-06</t>
  </si>
  <si>
    <t xml:space="preserve">Task ID</t>
  </si>
  <si>
    <t xml:space="preserve">Task Name</t>
  </si>
  <si>
    <t xml:space="preserve">Owner</t>
  </si>
  <si>
    <t xml:space="preserve">Sprint</t>
  </si>
  <si>
    <t xml:space="preserve">Priority</t>
  </si>
  <si>
    <t xml:space="preserve">Status</t>
  </si>
  <si>
    <t xml:space="preserve">Due Date</t>
  </si>
  <si>
    <t xml:space="preserve">Progress %</t>
  </si>
  <si>
    <t xml:space="preserve">Dependency</t>
  </si>
  <si>
    <t xml:space="preserve">Risk</t>
  </si>
  <si>
    <t xml:space="preserve">TSK-2001</t>
  </si>
  <si>
    <t xml:space="preserve">Finalize integration pattern for Sales module</t>
  </si>
  <si>
    <t xml:space="preserve">R. Kumar</t>
  </si>
  <si>
    <t xml:space="preserve">Sprint 3</t>
  </si>
  <si>
    <t xml:space="preserve">High</t>
  </si>
  <si>
    <t xml:space="preserve">Done</t>
  </si>
  <si>
    <t xml:space="preserve">2026-03-20</t>
  </si>
  <si>
    <t xml:space="preserve">—</t>
  </si>
  <si>
    <t xml:space="preserve">None</t>
  </si>
  <si>
    <t xml:space="preserve">TSK-2002</t>
  </si>
  <si>
    <t xml:space="preserve">Migrate legacy customer master data</t>
  </si>
  <si>
    <t xml:space="preserve">S. Liu</t>
  </si>
  <si>
    <t xml:space="preserve">Sprint 4</t>
  </si>
  <si>
    <t xml:space="preserve">In Progress</t>
  </si>
  <si>
    <t xml:space="preserve">2026-04-18</t>
  </si>
  <si>
    <t xml:space="preserve">Task ID 1</t>
  </si>
  <si>
    <t xml:space="preserve">Data quality issues may extend timeline</t>
  </si>
  <si>
    <t xml:space="preserve">TSK-2003</t>
  </si>
  <si>
    <t xml:space="preserve">Build Finance general ledger workflows</t>
  </si>
  <si>
    <t xml:space="preserve">A. Verma</t>
  </si>
  <si>
    <t xml:space="preserve">2026-04-25</t>
  </si>
  <si>
    <t xml:space="preserve">TSK-2004</t>
  </si>
  <si>
    <t xml:space="preserve">Configure Supply Chain reorder-point alerts</t>
  </si>
  <si>
    <t xml:space="preserve">D. Osei</t>
  </si>
  <si>
    <t xml:space="preserve">Sprint 5</t>
  </si>
  <si>
    <t xml:space="preserve">Medium</t>
  </si>
  <si>
    <t xml:space="preserve">Not Started</t>
  </si>
  <si>
    <t xml:space="preserve">2026-05-02</t>
  </si>
  <si>
    <t xml:space="preserve">Task ID 2</t>
  </si>
  <si>
    <t xml:space="preserve">Depends on data migration completing first</t>
  </si>
  <si>
    <t xml:space="preserve">TSK-2005</t>
  </si>
  <si>
    <t xml:space="preserve">Complete Security Assessment remediation</t>
  </si>
  <si>
    <t xml:space="preserve">E. Marsh</t>
  </si>
  <si>
    <t xml:space="preserve">2026-04-10</t>
  </si>
  <si>
    <t xml:space="preserve">Two high-risk findings still open</t>
  </si>
  <si>
    <t xml:space="preserve">TSK-2006</t>
  </si>
  <si>
    <t xml:space="preserve">Deploy Deployment Readiness monitoring tools</t>
  </si>
  <si>
    <t xml:space="preserve">K. Ibrahim</t>
  </si>
  <si>
    <t xml:space="preserve">2026-05-09</t>
  </si>
  <si>
    <t xml:space="preserve">Awaiting delayed Dell hardware shipment</t>
  </si>
  <si>
    <t xml:space="preserve">TSK-2007</t>
  </si>
  <si>
    <t xml:space="preserve">Build Procurement approval routing workflow</t>
  </si>
  <si>
    <t xml:space="preserve">2026-05-06</t>
  </si>
  <si>
    <t xml:space="preserve">TSK-2008</t>
  </si>
  <si>
    <t xml:space="preserve">User Acceptance Testing — Sales module</t>
  </si>
  <si>
    <t xml:space="preserve">Sprint 6</t>
  </si>
  <si>
    <t xml:space="preserve">2026-05-20</t>
  </si>
  <si>
    <t xml:space="preserve">Depends on Sales module build completing</t>
  </si>
  <si>
    <t xml:space="preserve">TSK-2009</t>
  </si>
  <si>
    <t xml:space="preserve">User Acceptance Testing — Finance module</t>
  </si>
  <si>
    <t xml:space="preserve">2026-05-27</t>
  </si>
  <si>
    <t xml:space="preserve">Task ID 3</t>
  </si>
  <si>
    <t xml:space="preserve">TSK-2010</t>
  </si>
  <si>
    <t xml:space="preserve">Draft end-user training materials</t>
  </si>
  <si>
    <t xml:space="preserve">2026-04-30</t>
  </si>
  <si>
    <t xml:space="preserve">Training schedule not yet finalized</t>
  </si>
  <si>
    <t xml:space="preserve">TSK-2011</t>
  </si>
  <si>
    <t xml:space="preserve">Configure role-based executive dashboards</t>
  </si>
  <si>
    <t xml:space="preserve">2026-05-13</t>
  </si>
  <si>
    <t xml:space="preserve">TSK-2012</t>
  </si>
  <si>
    <t xml:space="preserve">Vendor scorecard tracking build (Procurement)</t>
  </si>
  <si>
    <t xml:space="preserve">Low</t>
  </si>
  <si>
    <t xml:space="preserve">2026-06-03</t>
  </si>
  <si>
    <t xml:space="preserve">Task ID 7</t>
  </si>
  <si>
    <t xml:space="preserve">TSK-2013</t>
  </si>
  <si>
    <t xml:space="preserve">Disaster recovery test — Finance data</t>
  </si>
  <si>
    <t xml:space="preserve">2026-06-01</t>
  </si>
  <si>
    <t xml:space="preserve">Task ID 6</t>
  </si>
  <si>
    <t xml:space="preserve">Depends on monitoring tools deployment</t>
  </si>
  <si>
    <t xml:space="preserve">TSK-2014</t>
  </si>
  <si>
    <t xml:space="preserve">Teams/SharePoint notification integration</t>
  </si>
  <si>
    <t xml:space="preserve">2026-03-28</t>
  </si>
  <si>
    <t xml:space="preserve">TSK-2015</t>
  </si>
  <si>
    <t xml:space="preserve">Contract renewal reminder automation (Procurement)</t>
  </si>
  <si>
    <t xml:space="preserve">2026-06-10</t>
  </si>
  <si>
    <t xml:space="preserve">TSK-2016</t>
  </si>
  <si>
    <t xml:space="preserve">Load testing — multi-warehouse inventory</t>
  </si>
  <si>
    <t xml:space="preserve">2026-06-05</t>
  </si>
  <si>
    <t xml:space="preserve">Task ID 4</t>
  </si>
  <si>
    <t xml:space="preserve">TSK-2017</t>
  </si>
  <si>
    <t xml:space="preserve">Finalize data-retention configuration</t>
  </si>
  <si>
    <t xml:space="preserve">2026-05-01</t>
  </si>
  <si>
    <t xml:space="preserve">TSK-2018</t>
  </si>
  <si>
    <t xml:space="preserve">Go-live cutover runbook draft</t>
  </si>
  <si>
    <t xml:space="preserve">2026-06-15</t>
  </si>
  <si>
    <t xml:space="preserve">Depends on all UAT sign-offs</t>
  </si>
  <si>
    <t xml:space="preserve">TSK-2019</t>
  </si>
  <si>
    <t xml:space="preserve">Hypercare support plan and staffing</t>
  </si>
  <si>
    <t xml:space="preserve">2026-06-12</t>
  </si>
  <si>
    <t xml:space="preserve">TSK-2020</t>
  </si>
  <si>
    <t xml:space="preserve">Post-go-live 90-day success metrics dashboard</t>
  </si>
  <si>
    <t xml:space="preserve">Sprint 7</t>
  </si>
  <si>
    <t xml:space="preserve">2026-07-15</t>
  </si>
  <si>
    <t xml:space="preserve">Summary:</t>
  </si>
  <si>
    <t xml:space="preserve">Tasks marked "Done" above (of 20):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</si>
</sst>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7" min="6" style="0" width="13"/>
    <col collapsed="false" customWidth="true" hidden="false" outlineLevel="0" max="9" min="8" style="0" width="12"/>
    <col collapsed="false" customWidth="true" hidden="false" outlineLevel="0" max="10" min="10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5" t="s">
        <v>18</v>
      </c>
      <c r="H5" s="6" t="n">
        <v>1</v>
      </c>
      <c r="I5" s="4" t="s">
        <v>19</v>
      </c>
      <c r="J5" s="4" t="s">
        <v>20</v>
      </c>
    </row>
    <row r="6" customFormat="false" ht="15" hidden="false" customHeight="false" outlineLevel="0" collapsed="false">
      <c r="A6" s="4" t="s">
        <v>21</v>
      </c>
      <c r="B6" s="4" t="s">
        <v>22</v>
      </c>
      <c r="C6" s="4" t="s">
        <v>23</v>
      </c>
      <c r="D6" s="4" t="s">
        <v>24</v>
      </c>
      <c r="E6" s="4" t="s">
        <v>16</v>
      </c>
      <c r="F6" s="4" t="s">
        <v>25</v>
      </c>
      <c r="G6" s="5" t="s">
        <v>26</v>
      </c>
      <c r="H6" s="6" t="n">
        <v>0.6</v>
      </c>
      <c r="I6" s="4" t="s">
        <v>27</v>
      </c>
      <c r="J6" s="4" t="s">
        <v>28</v>
      </c>
    </row>
    <row r="7" customFormat="false" ht="15" hidden="false" customHeight="false" outlineLevel="0" collapsed="false">
      <c r="A7" s="4" t="s">
        <v>29</v>
      </c>
      <c r="B7" s="4" t="s">
        <v>30</v>
      </c>
      <c r="C7" s="4" t="s">
        <v>31</v>
      </c>
      <c r="D7" s="4" t="s">
        <v>24</v>
      </c>
      <c r="E7" s="4" t="s">
        <v>16</v>
      </c>
      <c r="F7" s="4" t="s">
        <v>25</v>
      </c>
      <c r="G7" s="5" t="s">
        <v>32</v>
      </c>
      <c r="H7" s="6" t="n">
        <v>0.45</v>
      </c>
      <c r="I7" s="4" t="s">
        <v>19</v>
      </c>
      <c r="J7" s="4" t="s">
        <v>20</v>
      </c>
    </row>
    <row r="8" customFormat="false" ht="15" hidden="false" customHeight="false" outlineLevel="0" collapsed="false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38</v>
      </c>
      <c r="G8" s="5" t="s">
        <v>39</v>
      </c>
      <c r="H8" s="4" t="s">
        <v>19</v>
      </c>
      <c r="I8" s="4" t="s">
        <v>40</v>
      </c>
      <c r="J8" s="4" t="s">
        <v>41</v>
      </c>
    </row>
    <row r="9" customFormat="false" ht="15" hidden="false" customHeight="false" outlineLevel="0" collapsed="false">
      <c r="A9" s="4" t="s">
        <v>42</v>
      </c>
      <c r="B9" s="4" t="s">
        <v>43</v>
      </c>
      <c r="C9" s="4" t="s">
        <v>44</v>
      </c>
      <c r="D9" s="4" t="s">
        <v>24</v>
      </c>
      <c r="E9" s="4" t="s">
        <v>16</v>
      </c>
      <c r="F9" s="4" t="s">
        <v>25</v>
      </c>
      <c r="G9" s="5" t="s">
        <v>45</v>
      </c>
      <c r="H9" s="6" t="n">
        <v>0.7</v>
      </c>
      <c r="I9" s="4" t="s">
        <v>19</v>
      </c>
      <c r="J9" s="4" t="s">
        <v>46</v>
      </c>
    </row>
    <row r="10" customFormat="false" ht="15" hidden="false" customHeight="false" outlineLevel="0" collapsed="false">
      <c r="A10" s="4" t="s">
        <v>47</v>
      </c>
      <c r="B10" s="4" t="s">
        <v>48</v>
      </c>
      <c r="C10" s="4" t="s">
        <v>49</v>
      </c>
      <c r="D10" s="4" t="s">
        <v>36</v>
      </c>
      <c r="E10" s="4" t="s">
        <v>16</v>
      </c>
      <c r="F10" s="4" t="s">
        <v>38</v>
      </c>
      <c r="G10" s="5" t="s">
        <v>50</v>
      </c>
      <c r="H10" s="4" t="s">
        <v>19</v>
      </c>
      <c r="I10" s="4" t="s">
        <v>19</v>
      </c>
      <c r="J10" s="4" t="s">
        <v>51</v>
      </c>
    </row>
    <row r="11" customFormat="false" ht="15" hidden="false" customHeight="false" outlineLevel="0" collapsed="false">
      <c r="A11" s="4" t="s">
        <v>52</v>
      </c>
      <c r="B11" s="4" t="s">
        <v>53</v>
      </c>
      <c r="C11" s="4" t="s">
        <v>14</v>
      </c>
      <c r="D11" s="4" t="s">
        <v>36</v>
      </c>
      <c r="E11" s="4" t="s">
        <v>37</v>
      </c>
      <c r="F11" s="4" t="s">
        <v>25</v>
      </c>
      <c r="G11" s="5" t="s">
        <v>54</v>
      </c>
      <c r="H11" s="6" t="n">
        <v>0.3</v>
      </c>
      <c r="I11" s="4" t="s">
        <v>19</v>
      </c>
      <c r="J11" s="4" t="s">
        <v>20</v>
      </c>
    </row>
    <row r="12" customFormat="false" ht="15" hidden="false" customHeight="false" outlineLevel="0" collapsed="false">
      <c r="A12" s="4" t="s">
        <v>55</v>
      </c>
      <c r="B12" s="4" t="s">
        <v>56</v>
      </c>
      <c r="C12" s="4" t="s">
        <v>23</v>
      </c>
      <c r="D12" s="4" t="s">
        <v>57</v>
      </c>
      <c r="E12" s="4" t="s">
        <v>16</v>
      </c>
      <c r="F12" s="4" t="s">
        <v>38</v>
      </c>
      <c r="G12" s="5" t="s">
        <v>58</v>
      </c>
      <c r="H12" s="4" t="s">
        <v>19</v>
      </c>
      <c r="I12" s="4" t="s">
        <v>27</v>
      </c>
      <c r="J12" s="4" t="s">
        <v>59</v>
      </c>
    </row>
    <row r="13" customFormat="false" ht="15" hidden="false" customHeight="false" outlineLevel="0" collapsed="false">
      <c r="A13" s="4" t="s">
        <v>60</v>
      </c>
      <c r="B13" s="4" t="s">
        <v>61</v>
      </c>
      <c r="C13" s="4" t="s">
        <v>31</v>
      </c>
      <c r="D13" s="4" t="s">
        <v>57</v>
      </c>
      <c r="E13" s="4" t="s">
        <v>16</v>
      </c>
      <c r="F13" s="4" t="s">
        <v>38</v>
      </c>
      <c r="G13" s="5" t="s">
        <v>62</v>
      </c>
      <c r="H13" s="4" t="s">
        <v>19</v>
      </c>
      <c r="I13" s="4" t="s">
        <v>63</v>
      </c>
      <c r="J13" s="4" t="s">
        <v>20</v>
      </c>
    </row>
    <row r="14" customFormat="false" ht="15" hidden="false" customHeight="false" outlineLevel="0" collapsed="false">
      <c r="A14" s="4" t="s">
        <v>64</v>
      </c>
      <c r="B14" s="4" t="s">
        <v>65</v>
      </c>
      <c r="C14" s="4" t="s">
        <v>35</v>
      </c>
      <c r="D14" s="4" t="s">
        <v>36</v>
      </c>
      <c r="E14" s="4" t="s">
        <v>37</v>
      </c>
      <c r="F14" s="4" t="s">
        <v>25</v>
      </c>
      <c r="G14" s="5" t="s">
        <v>66</v>
      </c>
      <c r="H14" s="6" t="n">
        <v>0.4</v>
      </c>
      <c r="I14" s="4" t="s">
        <v>19</v>
      </c>
      <c r="J14" s="4" t="s">
        <v>67</v>
      </c>
    </row>
    <row r="15" customFormat="false" ht="15" hidden="false" customHeight="false" outlineLevel="0" collapsed="false">
      <c r="A15" s="4" t="s">
        <v>68</v>
      </c>
      <c r="B15" s="4" t="s">
        <v>69</v>
      </c>
      <c r="C15" s="4" t="s">
        <v>44</v>
      </c>
      <c r="D15" s="4" t="s">
        <v>36</v>
      </c>
      <c r="E15" s="4" t="s">
        <v>37</v>
      </c>
      <c r="F15" s="4" t="s">
        <v>38</v>
      </c>
      <c r="G15" s="5" t="s">
        <v>70</v>
      </c>
      <c r="H15" s="4" t="s">
        <v>19</v>
      </c>
      <c r="I15" s="4" t="s">
        <v>19</v>
      </c>
      <c r="J15" s="4" t="s">
        <v>20</v>
      </c>
    </row>
    <row r="16" customFormat="false" ht="15" hidden="false" customHeight="false" outlineLevel="0" collapsed="false">
      <c r="A16" s="4" t="s">
        <v>71</v>
      </c>
      <c r="B16" s="4" t="s">
        <v>72</v>
      </c>
      <c r="C16" s="4" t="s">
        <v>49</v>
      </c>
      <c r="D16" s="4" t="s">
        <v>57</v>
      </c>
      <c r="E16" s="4" t="s">
        <v>73</v>
      </c>
      <c r="F16" s="4" t="s">
        <v>38</v>
      </c>
      <c r="G16" s="5" t="s">
        <v>74</v>
      </c>
      <c r="H16" s="4" t="s">
        <v>19</v>
      </c>
      <c r="I16" s="4" t="s">
        <v>75</v>
      </c>
      <c r="J16" s="4" t="s">
        <v>20</v>
      </c>
    </row>
    <row r="17" customFormat="false" ht="15" hidden="false" customHeight="false" outlineLevel="0" collapsed="false">
      <c r="A17" s="4" t="s">
        <v>76</v>
      </c>
      <c r="B17" s="4" t="s">
        <v>77</v>
      </c>
      <c r="C17" s="4" t="s">
        <v>14</v>
      </c>
      <c r="D17" s="4" t="s">
        <v>57</v>
      </c>
      <c r="E17" s="4" t="s">
        <v>16</v>
      </c>
      <c r="F17" s="4" t="s">
        <v>38</v>
      </c>
      <c r="G17" s="5" t="s">
        <v>78</v>
      </c>
      <c r="H17" s="4" t="s">
        <v>19</v>
      </c>
      <c r="I17" s="4" t="s">
        <v>79</v>
      </c>
      <c r="J17" s="4" t="s">
        <v>80</v>
      </c>
    </row>
    <row r="18" customFormat="false" ht="15" hidden="false" customHeight="false" outlineLevel="0" collapsed="false">
      <c r="A18" s="4" t="s">
        <v>81</v>
      </c>
      <c r="B18" s="4" t="s">
        <v>82</v>
      </c>
      <c r="C18" s="4" t="s">
        <v>23</v>
      </c>
      <c r="D18" s="4" t="s">
        <v>24</v>
      </c>
      <c r="E18" s="4" t="s">
        <v>37</v>
      </c>
      <c r="F18" s="4" t="s">
        <v>17</v>
      </c>
      <c r="G18" s="5" t="s">
        <v>83</v>
      </c>
      <c r="H18" s="6" t="n">
        <v>1</v>
      </c>
      <c r="I18" s="4" t="s">
        <v>19</v>
      </c>
      <c r="J18" s="4" t="s">
        <v>20</v>
      </c>
    </row>
    <row r="19" customFormat="false" ht="15" hidden="false" customHeight="false" outlineLevel="0" collapsed="false">
      <c r="A19" s="4" t="s">
        <v>84</v>
      </c>
      <c r="B19" s="4" t="s">
        <v>85</v>
      </c>
      <c r="C19" s="4" t="s">
        <v>31</v>
      </c>
      <c r="D19" s="4" t="s">
        <v>57</v>
      </c>
      <c r="E19" s="4" t="s">
        <v>73</v>
      </c>
      <c r="F19" s="4" t="s">
        <v>38</v>
      </c>
      <c r="G19" s="5" t="s">
        <v>86</v>
      </c>
      <c r="H19" s="4" t="s">
        <v>19</v>
      </c>
      <c r="I19" s="4" t="s">
        <v>19</v>
      </c>
      <c r="J19" s="4" t="s">
        <v>20</v>
      </c>
    </row>
    <row r="20" customFormat="false" ht="15" hidden="false" customHeight="false" outlineLevel="0" collapsed="false">
      <c r="A20" s="4" t="s">
        <v>87</v>
      </c>
      <c r="B20" s="4" t="s">
        <v>88</v>
      </c>
      <c r="C20" s="4" t="s">
        <v>35</v>
      </c>
      <c r="D20" s="4" t="s">
        <v>57</v>
      </c>
      <c r="E20" s="4" t="s">
        <v>37</v>
      </c>
      <c r="F20" s="4" t="s">
        <v>38</v>
      </c>
      <c r="G20" s="5" t="s">
        <v>89</v>
      </c>
      <c r="H20" s="4" t="s">
        <v>19</v>
      </c>
      <c r="I20" s="4" t="s">
        <v>90</v>
      </c>
      <c r="J20" s="4" t="s">
        <v>20</v>
      </c>
    </row>
    <row r="21" customFormat="false" ht="15" hidden="false" customHeight="false" outlineLevel="0" collapsed="false">
      <c r="A21" s="4" t="s">
        <v>91</v>
      </c>
      <c r="B21" s="4" t="s">
        <v>92</v>
      </c>
      <c r="C21" s="4" t="s">
        <v>44</v>
      </c>
      <c r="D21" s="4" t="s">
        <v>36</v>
      </c>
      <c r="E21" s="4" t="s">
        <v>37</v>
      </c>
      <c r="F21" s="4" t="s">
        <v>25</v>
      </c>
      <c r="G21" s="5" t="s">
        <v>93</v>
      </c>
      <c r="H21" s="6" t="n">
        <v>0.2</v>
      </c>
      <c r="I21" s="4" t="s">
        <v>19</v>
      </c>
      <c r="J21" s="4" t="s">
        <v>20</v>
      </c>
    </row>
    <row r="22" customFormat="false" ht="15" hidden="false" customHeight="false" outlineLevel="0" collapsed="false">
      <c r="A22" s="4" t="s">
        <v>94</v>
      </c>
      <c r="B22" s="4" t="s">
        <v>95</v>
      </c>
      <c r="C22" s="4" t="s">
        <v>49</v>
      </c>
      <c r="D22" s="4" t="s">
        <v>57</v>
      </c>
      <c r="E22" s="4" t="s">
        <v>16</v>
      </c>
      <c r="F22" s="4" t="s">
        <v>38</v>
      </c>
      <c r="G22" s="5" t="s">
        <v>96</v>
      </c>
      <c r="H22" s="4" t="s">
        <v>19</v>
      </c>
      <c r="I22" s="4" t="s">
        <v>19</v>
      </c>
      <c r="J22" s="4" t="s">
        <v>97</v>
      </c>
    </row>
    <row r="23" customFormat="false" ht="15" hidden="false" customHeight="false" outlineLevel="0" collapsed="false">
      <c r="A23" s="4" t="s">
        <v>98</v>
      </c>
      <c r="B23" s="4" t="s">
        <v>99</v>
      </c>
      <c r="C23" s="4" t="s">
        <v>14</v>
      </c>
      <c r="D23" s="4" t="s">
        <v>57</v>
      </c>
      <c r="E23" s="4" t="s">
        <v>37</v>
      </c>
      <c r="F23" s="4" t="s">
        <v>38</v>
      </c>
      <c r="G23" s="5" t="s">
        <v>100</v>
      </c>
      <c r="H23" s="4" t="s">
        <v>19</v>
      </c>
      <c r="I23" s="4" t="s">
        <v>19</v>
      </c>
      <c r="J23" s="4" t="s">
        <v>20</v>
      </c>
    </row>
    <row r="24" customFormat="false" ht="15" hidden="false" customHeight="false" outlineLevel="0" collapsed="false">
      <c r="A24" s="4" t="s">
        <v>101</v>
      </c>
      <c r="B24" s="4" t="s">
        <v>102</v>
      </c>
      <c r="C24" s="4" t="s">
        <v>23</v>
      </c>
      <c r="D24" s="4" t="s">
        <v>103</v>
      </c>
      <c r="E24" s="4" t="s">
        <v>73</v>
      </c>
      <c r="F24" s="4" t="s">
        <v>38</v>
      </c>
      <c r="G24" s="5" t="s">
        <v>104</v>
      </c>
      <c r="H24" s="4" t="s">
        <v>19</v>
      </c>
      <c r="I24" s="4" t="s">
        <v>19</v>
      </c>
      <c r="J24" s="4" t="s">
        <v>20</v>
      </c>
    </row>
    <row r="26" customFormat="false" ht="15" hidden="false" customHeight="false" outlineLevel="0" collapsed="false">
      <c r="B26" s="7" t="s">
        <v>105</v>
      </c>
      <c r="F26" s="7" t="n">
        <f aca="false">COUNTIF(F5:F24,"Done")</f>
        <v>2</v>
      </c>
    </row>
    <row r="27" customFormat="false" ht="15" hidden="false" customHeight="false" outlineLevel="0" collapsed="false">
      <c r="B27" s="8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2026-07-13T09:42:58Z</dcterms:created>
  <dc:creator>openpyxl</dc:creator>
  <dc:description/>
  <dc:language>en-US</dc:language>
  <cp:lastModifiedBy/>
  <dcterms:modified xsi:type="dcterms:W3CDTF">2026-07-13T09:42:58Z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